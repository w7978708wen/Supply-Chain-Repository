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ingc\Downloads\Supply Chain Analysis\"/>
    </mc:Choice>
  </mc:AlternateContent>
  <xr:revisionPtr revIDLastSave="0" documentId="13_ncr:1_{B3707136-1723-4007-ADF9-825ACE6EC205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ABCD Classification" sheetId="1" r:id="rId1"/>
    <sheet name="Re-Order Point &amp; XLOOKUP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2" l="1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" i="2"/>
  <c r="G2" i="1"/>
  <c r="F2" i="1"/>
  <c r="L4" i="1"/>
  <c r="E13" i="1"/>
  <c r="L13" i="1"/>
  <c r="L12" i="1"/>
  <c r="L6" i="1"/>
  <c r="L5" i="1"/>
  <c r="L11" i="1"/>
  <c r="E14" i="1" s="1"/>
  <c r="F3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" i="1"/>
  <c r="E12" i="1" l="1"/>
  <c r="E10" i="1"/>
  <c r="E8" i="1"/>
  <c r="E2" i="1"/>
  <c r="E7" i="1"/>
  <c r="G7" i="1" s="1"/>
  <c r="E20" i="1"/>
  <c r="G20" i="1" s="1"/>
  <c r="E6" i="1"/>
  <c r="G6" i="1" s="1"/>
  <c r="E19" i="1"/>
  <c r="G19" i="1" s="1"/>
  <c r="E5" i="1"/>
  <c r="G5" i="1" s="1"/>
  <c r="E11" i="1"/>
  <c r="G11" i="1" s="1"/>
  <c r="E9" i="1"/>
  <c r="E18" i="1"/>
  <c r="G18" i="1" s="1"/>
  <c r="E4" i="1"/>
  <c r="E17" i="1"/>
  <c r="E3" i="1"/>
  <c r="G3" i="1" s="1"/>
  <c r="E16" i="1"/>
  <c r="E15" i="1"/>
  <c r="F14" i="1"/>
  <c r="G14" i="1" s="1"/>
  <c r="F16" i="1"/>
  <c r="F15" i="1"/>
  <c r="F13" i="1"/>
  <c r="G13" i="1" s="1"/>
  <c r="F12" i="1"/>
  <c r="F11" i="1"/>
  <c r="F10" i="1"/>
  <c r="F9" i="1"/>
  <c r="F8" i="1"/>
  <c r="F7" i="1"/>
  <c r="F20" i="1"/>
  <c r="F6" i="1"/>
  <c r="F5" i="1"/>
  <c r="F4" i="1"/>
  <c r="F19" i="1"/>
  <c r="F18" i="1"/>
  <c r="F17" i="1"/>
  <c r="G9" i="1" l="1"/>
  <c r="G15" i="1"/>
  <c r="G8" i="1"/>
  <c r="G16" i="1"/>
  <c r="G10" i="1"/>
  <c r="G12" i="1"/>
  <c r="G17" i="1"/>
  <c r="G4" i="1"/>
</calcChain>
</file>

<file path=xl/sharedStrings.xml><?xml version="1.0" encoding="utf-8"?>
<sst xmlns="http://schemas.openxmlformats.org/spreadsheetml/2006/main" count="81" uniqueCount="46">
  <si>
    <t>SKU / Item</t>
  </si>
  <si>
    <t>Classification</t>
  </si>
  <si>
    <t>SKU99012</t>
  </si>
  <si>
    <t>SKU22769</t>
  </si>
  <si>
    <t>SKU22001</t>
  </si>
  <si>
    <t>SKU33445</t>
  </si>
  <si>
    <t>SKU99008</t>
  </si>
  <si>
    <t>SKU67887</t>
  </si>
  <si>
    <t>SKU99009</t>
  </si>
  <si>
    <t>SKU45456</t>
  </si>
  <si>
    <t>SKU99014</t>
  </si>
  <si>
    <t>SKU99006</t>
  </si>
  <si>
    <t>SKU99013</t>
  </si>
  <si>
    <t>SKU99005</t>
  </si>
  <si>
    <t>SKU98633</t>
  </si>
  <si>
    <t>SKU00912</t>
  </si>
  <si>
    <t>SKU99010</t>
  </si>
  <si>
    <t>SKU99011</t>
  </si>
  <si>
    <t>SKU99007</t>
  </si>
  <si>
    <t>SKU78512</t>
  </si>
  <si>
    <t>SKU45667</t>
  </si>
  <si>
    <t>Description</t>
  </si>
  <si>
    <t>Percentile</t>
  </si>
  <si>
    <t>Profit Per Unit</t>
  </si>
  <si>
    <t>A</t>
  </si>
  <si>
    <t>B</t>
  </si>
  <si>
    <t>C</t>
  </si>
  <si>
    <t>Top 20 percentile</t>
  </si>
  <si>
    <t>Sales Ranking</t>
  </si>
  <si>
    <t>Total Profit Ranking</t>
  </si>
  <si>
    <t>Discontinue?</t>
  </si>
  <si>
    <t>Top 40 percentile</t>
  </si>
  <si>
    <t>Top 60 percentile</t>
  </si>
  <si>
    <t>D</t>
  </si>
  <si>
    <t>Neither</t>
  </si>
  <si>
    <t>Total Profit</t>
  </si>
  <si>
    <t>Min amount</t>
  </si>
  <si>
    <t>Units Sold</t>
  </si>
  <si>
    <t>Beginning Stock</t>
  </si>
  <si>
    <t>Sales/Consumed</t>
  </si>
  <si>
    <t>Current Stock 
On Hand</t>
  </si>
  <si>
    <t>RE-ORDER 
POINT</t>
  </si>
  <si>
    <t>SKU</t>
  </si>
  <si>
    <t>Current Stock On Hand</t>
  </si>
  <si>
    <t>RE-ORDER</t>
  </si>
  <si>
    <t>XLOOKUP Search: Use SKU to Find Current Stock On Hand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</si>
</sst>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44" fontId="0" fillId="0" borderId="1" xfId="1" applyFont="1" applyBorder="1"/>
    <xf numFmtId="0" fontId="0" fillId="0" borderId="1" xfId="0" applyBorder="1" applyAlignment="1">
      <alignment wrapText="1"/>
    </xf>
    <xf numFmtId="0" fontId="1" fillId="0" borderId="1" xfId="0" applyFont="1" applyBorder="1"/>
    <xf numFmtId="0" fontId="1" fillId="0" borderId="1" xfId="0" applyFont="1" applyBorder="1" applyAlignment="1">
      <alignment wrapText="1"/>
    </xf>
  </cellXfs>
  <cellStyles count="2">
    <cellStyle name="Currency" xfId="1" builtinId="4"/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"/>
  <sheetViews>
    <sheetView workbookViewId="0">
      <selection sqref="A1:A20"/>
    </sheetView>
  </sheetViews>
  <sheetFormatPr defaultRowHeight="14.5" x14ac:dyDescent="0.35"/>
  <cols>
    <col min="1" max="1" width="10.6328125" customWidth="1"/>
    <col min="2" max="2" width="13.1796875" customWidth="1"/>
    <col min="3" max="3" width="18" customWidth="1"/>
    <col min="4" max="4" width="15.81640625" customWidth="1"/>
    <col min="5" max="5" width="14.81640625" customWidth="1"/>
    <col min="6" max="6" width="18.453125" customWidth="1"/>
    <col min="7" max="7" width="11.7265625" customWidth="1"/>
    <col min="9" max="9" width="12.6328125" customWidth="1"/>
    <col min="10" max="10" width="16.08984375" customWidth="1"/>
    <col min="11" max="11" width="9.90625" customWidth="1"/>
    <col min="12" max="12" width="12.08984375" bestFit="1" customWidth="1"/>
  </cols>
  <sheetData>
    <row r="1" spans="1:12" x14ac:dyDescent="0.35">
      <c r="A1" s="1" t="s">
        <v>0</v>
      </c>
      <c r="B1" s="1" t="s">
        <v>23</v>
      </c>
      <c r="C1" s="1" t="s">
        <v>37</v>
      </c>
      <c r="D1" s="1" t="s">
        <v>35</v>
      </c>
      <c r="E1" s="1" t="s">
        <v>28</v>
      </c>
      <c r="F1" s="1" t="s">
        <v>29</v>
      </c>
      <c r="G1" s="1" t="s">
        <v>30</v>
      </c>
    </row>
    <row r="2" spans="1:12" x14ac:dyDescent="0.35">
      <c r="A2" s="2" t="s">
        <v>2</v>
      </c>
      <c r="B2" s="3">
        <v>48</v>
      </c>
      <c r="C2" s="2">
        <v>3855</v>
      </c>
      <c r="D2" s="3">
        <f>B2*C2</f>
        <v>185040</v>
      </c>
      <c r="E2" s="2" t="str">
        <f t="shared" ref="E2:E20" si="0">IF(C2&gt;=$L$11, "A", IF(C2&gt;= $L$11, "B", IF(C11&gt;=$L$13, "C", "D")))</f>
        <v>A</v>
      </c>
      <c r="F2" s="2" t="str">
        <f>IF(D2&gt;=$L$4,"A",IF(D2&gt;=$L$5,"B",IF(D2&gt;=$L$6,"C","D")))</f>
        <v>A</v>
      </c>
      <c r="G2" s="2" t="str">
        <f>IF(AND(E2="D",F2="D"),"Yes","No")</f>
        <v>No</v>
      </c>
      <c r="I2" t="s">
        <v>29</v>
      </c>
    </row>
    <row r="3" spans="1:12" x14ac:dyDescent="0.35">
      <c r="A3" s="2" t="s">
        <v>3</v>
      </c>
      <c r="B3" s="3">
        <v>37</v>
      </c>
      <c r="C3" s="2">
        <v>3672</v>
      </c>
      <c r="D3" s="3">
        <f t="shared" ref="D3:D20" si="1">B3*C3</f>
        <v>135864</v>
      </c>
      <c r="E3" s="2" t="str">
        <f t="shared" si="0"/>
        <v>C</v>
      </c>
      <c r="F3" s="2" t="str">
        <f t="shared" ref="F3:F20" si="2">IF(D3&gt;=$L$4,"A",IF(D3&gt;=$L$5,"B",IF(D3&gt;=$L$6,"C","D")))</f>
        <v>B</v>
      </c>
      <c r="G3" s="2" t="str">
        <f t="shared" ref="G3:G20" si="3">IF(AND(E3="D",F3="D"),"Yes","No")</f>
        <v>No</v>
      </c>
      <c r="I3" s="2" t="s">
        <v>1</v>
      </c>
      <c r="J3" s="2" t="s">
        <v>21</v>
      </c>
      <c r="K3" s="2" t="s">
        <v>22</v>
      </c>
      <c r="L3" s="4" t="s">
        <v>36</v>
      </c>
    </row>
    <row r="4" spans="1:12" x14ac:dyDescent="0.35">
      <c r="A4" s="2" t="s">
        <v>4</v>
      </c>
      <c r="B4" s="3">
        <v>43</v>
      </c>
      <c r="C4" s="2">
        <v>3601</v>
      </c>
      <c r="D4" s="3">
        <f t="shared" si="1"/>
        <v>154843</v>
      </c>
      <c r="E4" s="2" t="str">
        <f t="shared" si="0"/>
        <v>D</v>
      </c>
      <c r="F4" s="2" t="str">
        <f t="shared" si="2"/>
        <v>A</v>
      </c>
      <c r="G4" s="2" t="str">
        <f t="shared" si="3"/>
        <v>No</v>
      </c>
      <c r="I4" s="2" t="s">
        <v>24</v>
      </c>
      <c r="J4" s="2" t="s">
        <v>27</v>
      </c>
      <c r="K4" s="2">
        <v>0.2</v>
      </c>
      <c r="L4" s="3">
        <f>_xlfn.PERCENTILE.EXC($D2:$D20, 1-K4)</f>
        <v>154843</v>
      </c>
    </row>
    <row r="5" spans="1:12" x14ac:dyDescent="0.35">
      <c r="A5" s="2" t="s">
        <v>5</v>
      </c>
      <c r="B5" s="3">
        <v>47</v>
      </c>
      <c r="C5" s="2">
        <v>3876</v>
      </c>
      <c r="D5" s="3">
        <f t="shared" si="1"/>
        <v>182172</v>
      </c>
      <c r="E5" s="2" t="str">
        <f t="shared" si="0"/>
        <v>A</v>
      </c>
      <c r="F5" s="2" t="str">
        <f t="shared" si="2"/>
        <v>A</v>
      </c>
      <c r="G5" s="2" t="str">
        <f t="shared" si="3"/>
        <v>No</v>
      </c>
      <c r="I5" s="2" t="s">
        <v>25</v>
      </c>
      <c r="J5" s="2" t="s">
        <v>31</v>
      </c>
      <c r="K5" s="2">
        <v>0.4</v>
      </c>
      <c r="L5" s="3">
        <f>_xlfn.PERCENTILE.EXC($D2:$D20, 1-K5)</f>
        <v>134482</v>
      </c>
    </row>
    <row r="6" spans="1:12" x14ac:dyDescent="0.35">
      <c r="A6" s="2" t="s">
        <v>6</v>
      </c>
      <c r="B6" s="3">
        <v>31</v>
      </c>
      <c r="C6" s="2">
        <v>3446</v>
      </c>
      <c r="D6" s="3">
        <f t="shared" si="1"/>
        <v>106826</v>
      </c>
      <c r="E6" s="2" t="str">
        <f t="shared" si="0"/>
        <v>C</v>
      </c>
      <c r="F6" s="2" t="str">
        <f t="shared" si="2"/>
        <v>D</v>
      </c>
      <c r="G6" s="2" t="str">
        <f t="shared" si="3"/>
        <v>No</v>
      </c>
      <c r="I6" s="2" t="s">
        <v>26</v>
      </c>
      <c r="J6" s="2" t="s">
        <v>32</v>
      </c>
      <c r="K6" s="2">
        <v>0.6</v>
      </c>
      <c r="L6" s="3">
        <f>_xlfn.PERCENTILE.EXC($D2:$D20, 1-K6)</f>
        <v>118208</v>
      </c>
    </row>
    <row r="7" spans="1:12" x14ac:dyDescent="0.35">
      <c r="A7" s="2" t="s">
        <v>7</v>
      </c>
      <c r="B7" s="3">
        <v>32</v>
      </c>
      <c r="C7" s="2">
        <v>3694</v>
      </c>
      <c r="D7" s="3">
        <f t="shared" si="1"/>
        <v>118208</v>
      </c>
      <c r="E7" s="2" t="str">
        <f t="shared" si="0"/>
        <v>D</v>
      </c>
      <c r="F7" s="2" t="str">
        <f t="shared" si="2"/>
        <v>C</v>
      </c>
      <c r="G7" s="2" t="str">
        <f t="shared" si="3"/>
        <v>No</v>
      </c>
      <c r="I7" s="2" t="s">
        <v>33</v>
      </c>
      <c r="J7" s="2" t="s">
        <v>34</v>
      </c>
      <c r="K7" s="2"/>
      <c r="L7" s="2"/>
    </row>
    <row r="8" spans="1:12" x14ac:dyDescent="0.35">
      <c r="A8" s="2" t="s">
        <v>8</v>
      </c>
      <c r="B8" s="3">
        <v>29</v>
      </c>
      <c r="C8" s="2">
        <v>3220</v>
      </c>
      <c r="D8" s="3">
        <f t="shared" si="1"/>
        <v>93380</v>
      </c>
      <c r="E8" s="2" t="str">
        <f t="shared" si="0"/>
        <v>C</v>
      </c>
      <c r="F8" s="2" t="str">
        <f t="shared" si="2"/>
        <v>D</v>
      </c>
      <c r="G8" s="2" t="str">
        <f t="shared" si="3"/>
        <v>No</v>
      </c>
    </row>
    <row r="9" spans="1:12" x14ac:dyDescent="0.35">
      <c r="A9" s="2" t="s">
        <v>9</v>
      </c>
      <c r="B9" s="3">
        <v>41</v>
      </c>
      <c r="C9" s="2">
        <v>3295</v>
      </c>
      <c r="D9" s="3">
        <f t="shared" si="1"/>
        <v>135095</v>
      </c>
      <c r="E9" s="2" t="str">
        <f t="shared" si="0"/>
        <v>D</v>
      </c>
      <c r="F9" s="2" t="str">
        <f t="shared" si="2"/>
        <v>B</v>
      </c>
      <c r="G9" s="2" t="str">
        <f t="shared" si="3"/>
        <v>No</v>
      </c>
      <c r="I9" t="s">
        <v>28</v>
      </c>
    </row>
    <row r="10" spans="1:12" x14ac:dyDescent="0.35">
      <c r="A10" s="2" t="s">
        <v>10</v>
      </c>
      <c r="B10" s="3">
        <v>26</v>
      </c>
      <c r="C10" s="2">
        <v>2895</v>
      </c>
      <c r="D10" s="3">
        <f t="shared" si="1"/>
        <v>75270</v>
      </c>
      <c r="E10" s="2" t="str">
        <f t="shared" si="0"/>
        <v>C</v>
      </c>
      <c r="F10" s="2" t="str">
        <f t="shared" si="2"/>
        <v>D</v>
      </c>
      <c r="G10" s="2" t="str">
        <f t="shared" si="3"/>
        <v>No</v>
      </c>
      <c r="I10" s="2" t="s">
        <v>1</v>
      </c>
      <c r="J10" s="2" t="s">
        <v>21</v>
      </c>
      <c r="K10" s="2" t="s">
        <v>22</v>
      </c>
      <c r="L10" s="4" t="s">
        <v>36</v>
      </c>
    </row>
    <row r="11" spans="1:12" x14ac:dyDescent="0.35">
      <c r="A11" s="2" t="s">
        <v>11</v>
      </c>
      <c r="B11" s="3">
        <v>48</v>
      </c>
      <c r="C11" s="2">
        <v>2875</v>
      </c>
      <c r="D11" s="3">
        <f t="shared" si="1"/>
        <v>138000</v>
      </c>
      <c r="E11" s="2" t="str">
        <f t="shared" si="0"/>
        <v>C</v>
      </c>
      <c r="F11" s="2" t="str">
        <f t="shared" si="2"/>
        <v>B</v>
      </c>
      <c r="G11" s="2" t="str">
        <f t="shared" si="3"/>
        <v>No</v>
      </c>
      <c r="I11" s="2" t="s">
        <v>24</v>
      </c>
      <c r="J11" s="2" t="s">
        <v>27</v>
      </c>
      <c r="K11" s="2">
        <v>0.2</v>
      </c>
      <c r="L11" s="2">
        <f>_xlfn.PERCENTILE.EXC($C2:$C20, 1-K11)</f>
        <v>3844</v>
      </c>
    </row>
    <row r="12" spans="1:12" x14ac:dyDescent="0.35">
      <c r="A12" s="2" t="s">
        <v>12</v>
      </c>
      <c r="B12" s="3">
        <v>38</v>
      </c>
      <c r="C12" s="2">
        <v>3485</v>
      </c>
      <c r="D12" s="3">
        <f t="shared" si="1"/>
        <v>132430</v>
      </c>
      <c r="E12" s="2" t="str">
        <f t="shared" si="0"/>
        <v>D</v>
      </c>
      <c r="F12" s="2" t="str">
        <f t="shared" si="2"/>
        <v>C</v>
      </c>
      <c r="G12" s="2" t="str">
        <f t="shared" si="3"/>
        <v>No</v>
      </c>
      <c r="I12" s="2" t="s">
        <v>25</v>
      </c>
      <c r="J12" s="2" t="s">
        <v>31</v>
      </c>
      <c r="K12" s="2">
        <v>0.4</v>
      </c>
      <c r="L12" s="2">
        <f>_xlfn.PERCENTILE.EXC($C2:$C20, 1-K12)</f>
        <v>3539</v>
      </c>
    </row>
    <row r="13" spans="1:12" x14ac:dyDescent="0.35">
      <c r="A13" s="2" t="s">
        <v>13</v>
      </c>
      <c r="B13" s="3">
        <v>31</v>
      </c>
      <c r="C13" s="2">
        <v>2813</v>
      </c>
      <c r="D13" s="3">
        <f t="shared" si="1"/>
        <v>87203</v>
      </c>
      <c r="E13" s="2" t="str">
        <f t="shared" si="0"/>
        <v>D</v>
      </c>
      <c r="F13" s="2" t="str">
        <f t="shared" si="2"/>
        <v>D</v>
      </c>
      <c r="G13" s="2" t="str">
        <f t="shared" si="3"/>
        <v>Yes</v>
      </c>
      <c r="I13" s="2" t="s">
        <v>26</v>
      </c>
      <c r="J13" s="2" t="s">
        <v>32</v>
      </c>
      <c r="K13" s="2">
        <v>0.6</v>
      </c>
      <c r="L13" s="2">
        <f>_xlfn.PERCENTILE.EXC($C2:$C20, 1-K13)</f>
        <v>3240</v>
      </c>
    </row>
    <row r="14" spans="1:12" x14ac:dyDescent="0.35">
      <c r="A14" s="2" t="s">
        <v>14</v>
      </c>
      <c r="B14" s="3">
        <v>25</v>
      </c>
      <c r="C14" s="2">
        <v>2691</v>
      </c>
      <c r="D14" s="3">
        <f t="shared" si="1"/>
        <v>67275</v>
      </c>
      <c r="E14" s="2" t="str">
        <f t="shared" si="0"/>
        <v>D</v>
      </c>
      <c r="F14" s="2" t="str">
        <f t="shared" si="2"/>
        <v>D</v>
      </c>
      <c r="G14" s="2" t="str">
        <f t="shared" si="3"/>
        <v>Yes</v>
      </c>
      <c r="I14" s="2" t="s">
        <v>33</v>
      </c>
      <c r="J14" s="2" t="s">
        <v>34</v>
      </c>
      <c r="K14" s="2"/>
      <c r="L14" s="2"/>
    </row>
    <row r="15" spans="1:12" x14ac:dyDescent="0.35">
      <c r="A15" s="2" t="s">
        <v>15</v>
      </c>
      <c r="B15" s="3">
        <v>32</v>
      </c>
      <c r="C15" s="2">
        <v>3905</v>
      </c>
      <c r="D15" s="3">
        <f t="shared" si="1"/>
        <v>124960</v>
      </c>
      <c r="E15" s="2" t="str">
        <f t="shared" si="0"/>
        <v>A</v>
      </c>
      <c r="F15" s="2" t="str">
        <f t="shared" si="2"/>
        <v>C</v>
      </c>
      <c r="G15" s="2" t="str">
        <f t="shared" si="3"/>
        <v>No</v>
      </c>
    </row>
    <row r="16" spans="1:12" x14ac:dyDescent="0.35">
      <c r="A16" s="2" t="s">
        <v>16</v>
      </c>
      <c r="B16" s="3">
        <v>39</v>
      </c>
      <c r="C16" s="2">
        <v>2768</v>
      </c>
      <c r="D16" s="3">
        <f t="shared" si="1"/>
        <v>107952</v>
      </c>
      <c r="E16" s="2" t="str">
        <f t="shared" si="0"/>
        <v>D</v>
      </c>
      <c r="F16" s="2" t="str">
        <f t="shared" si="2"/>
        <v>D</v>
      </c>
      <c r="G16" s="2" t="str">
        <f t="shared" si="3"/>
        <v>Yes</v>
      </c>
    </row>
    <row r="17" spans="1:7" x14ac:dyDescent="0.35">
      <c r="A17" s="2" t="s">
        <v>17</v>
      </c>
      <c r="B17" s="3">
        <v>38</v>
      </c>
      <c r="C17" s="2">
        <v>3539</v>
      </c>
      <c r="D17" s="3">
        <f t="shared" si="1"/>
        <v>134482</v>
      </c>
      <c r="E17" s="2" t="str">
        <f t="shared" si="0"/>
        <v>D</v>
      </c>
      <c r="F17" s="2" t="str">
        <f t="shared" si="2"/>
        <v>B</v>
      </c>
      <c r="G17" s="2" t="str">
        <f t="shared" si="3"/>
        <v>No</v>
      </c>
    </row>
    <row r="18" spans="1:7" x14ac:dyDescent="0.35">
      <c r="A18" s="2" t="s">
        <v>18</v>
      </c>
      <c r="B18" s="3">
        <v>46</v>
      </c>
      <c r="C18" s="2">
        <v>2767</v>
      </c>
      <c r="D18" s="3">
        <f t="shared" si="1"/>
        <v>127282</v>
      </c>
      <c r="E18" s="2" t="str">
        <f t="shared" si="0"/>
        <v>D</v>
      </c>
      <c r="F18" s="2" t="str">
        <f t="shared" si="2"/>
        <v>C</v>
      </c>
      <c r="G18" s="2" t="str">
        <f t="shared" si="3"/>
        <v>No</v>
      </c>
    </row>
    <row r="19" spans="1:7" x14ac:dyDescent="0.35">
      <c r="A19" s="2" t="s">
        <v>19</v>
      </c>
      <c r="B19" s="3">
        <v>47</v>
      </c>
      <c r="C19" s="2">
        <v>3844</v>
      </c>
      <c r="D19" s="3">
        <f t="shared" si="1"/>
        <v>180668</v>
      </c>
      <c r="E19" s="2" t="str">
        <f t="shared" si="0"/>
        <v>A</v>
      </c>
      <c r="F19" s="2" t="str">
        <f t="shared" si="2"/>
        <v>A</v>
      </c>
      <c r="G19" s="2" t="str">
        <f t="shared" si="3"/>
        <v>No</v>
      </c>
    </row>
    <row r="20" spans="1:7" x14ac:dyDescent="0.35">
      <c r="A20" s="2" t="s">
        <v>20</v>
      </c>
      <c r="B20" s="3">
        <v>30</v>
      </c>
      <c r="C20" s="2">
        <v>3240</v>
      </c>
      <c r="D20" s="3">
        <f t="shared" si="1"/>
        <v>97200</v>
      </c>
      <c r="E20" s="2" t="str">
        <f t="shared" si="0"/>
        <v>D</v>
      </c>
      <c r="F20" s="2" t="str">
        <f t="shared" si="2"/>
        <v>D</v>
      </c>
      <c r="G20" s="2" t="str">
        <f t="shared" si="3"/>
        <v>Yes</v>
      </c>
    </row>
  </sheetData>
  <conditionalFormatting sqref="G2:G20">
    <cfRule type="containsText" dxfId="4" priority="1" operator="containsText" text="No">
      <formula>NOT(ISERROR(SEARCH("No",G2)))</formula>
    </cfRule>
    <cfRule type="containsText" dxfId="3" priority="2" operator="containsText" text="Yes">
      <formula>NOT(ISERROR(SEARCH("Yes",G2)))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87DDC-48D0-40B1-82D8-F331944AFEAA}">
  <dimension ref="A1:J20"/>
  <sheetViews>
    <sheetView tabSelected="1" topLeftCell="H1" workbookViewId="0">
      <selection activeCell="U17" sqref="U17"/>
    </sheetView>
  </sheetViews>
  <sheetFormatPr defaultRowHeight="14.5" x14ac:dyDescent="0.35"/>
  <cols>
    <col min="1" max="1" width="12.26953125" customWidth="1"/>
    <col min="2" max="2" width="14.90625" customWidth="1"/>
    <col min="3" max="3" width="14.81640625" customWidth="1"/>
    <col min="4" max="4" width="11.54296875" customWidth="1"/>
    <col min="5" max="5" width="19.7265625" customWidth="1"/>
    <col min="6" max="6" width="11.1796875" customWidth="1"/>
    <col min="10" max="10" width="20.54296875" customWidth="1"/>
  </cols>
  <sheetData>
    <row r="1" spans="1:10" ht="29" x14ac:dyDescent="0.35">
      <c r="A1" s="1" t="s">
        <v>0</v>
      </c>
      <c r="B1" s="5" t="s">
        <v>38</v>
      </c>
      <c r="C1" s="6" t="s">
        <v>39</v>
      </c>
      <c r="D1" s="6" t="s">
        <v>41</v>
      </c>
      <c r="E1" s="6" t="s">
        <v>40</v>
      </c>
      <c r="F1" s="5" t="s">
        <v>44</v>
      </c>
      <c r="I1" t="s">
        <v>45</v>
      </c>
    </row>
    <row r="2" spans="1:10" x14ac:dyDescent="0.35">
      <c r="A2" s="2" t="s">
        <v>2</v>
      </c>
      <c r="B2" s="2">
        <v>7603</v>
      </c>
      <c r="C2" s="2">
        <v>5174</v>
      </c>
      <c r="D2" s="2">
        <v>1000</v>
      </c>
      <c r="E2" s="2">
        <f>B2-C2</f>
        <v>2429</v>
      </c>
      <c r="F2" s="2" t="str">
        <f>IF(E2&gt;=D2,"No", "Yes")</f>
        <v>No</v>
      </c>
    </row>
    <row r="3" spans="1:10" x14ac:dyDescent="0.35">
      <c r="A3" s="2" t="s">
        <v>3</v>
      </c>
      <c r="B3" s="2">
        <v>6996</v>
      </c>
      <c r="C3" s="2">
        <v>6031</v>
      </c>
      <c r="D3" s="2">
        <v>1200</v>
      </c>
      <c r="E3" s="2">
        <f t="shared" ref="E3:E20" si="0">B3-C3</f>
        <v>965</v>
      </c>
      <c r="F3" s="2" t="str">
        <f t="shared" ref="F3:F20" si="1">IF(E3&gt;=D3,"No", "Yes")</f>
        <v>Yes</v>
      </c>
      <c r="I3" s="5" t="s">
        <v>42</v>
      </c>
      <c r="J3" s="5" t="s">
        <v>43</v>
      </c>
    </row>
    <row r="4" spans="1:10" x14ac:dyDescent="0.35">
      <c r="A4" s="2" t="s">
        <v>4</v>
      </c>
      <c r="B4" s="2">
        <v>6674</v>
      </c>
      <c r="C4" s="2">
        <v>3281</v>
      </c>
      <c r="D4" s="2">
        <v>1500</v>
      </c>
      <c r="E4" s="2">
        <f t="shared" si="0"/>
        <v>3393</v>
      </c>
      <c r="F4" s="2" t="str">
        <f t="shared" si="1"/>
        <v>No</v>
      </c>
      <c r="I4" s="2" t="s">
        <v>2</v>
      </c>
      <c r="J4" s="2">
        <f>_xlfn.XLOOKUP(I4,A:A,E:E,"SKU Not Found",0)</f>
        <v>2429</v>
      </c>
    </row>
    <row r="5" spans="1:10" x14ac:dyDescent="0.35">
      <c r="A5" s="2" t="s">
        <v>5</v>
      </c>
      <c r="B5" s="2">
        <v>6377</v>
      </c>
      <c r="C5" s="2">
        <v>3660</v>
      </c>
      <c r="D5" s="2">
        <v>1500</v>
      </c>
      <c r="E5" s="2">
        <f t="shared" si="0"/>
        <v>2717</v>
      </c>
      <c r="F5" s="2" t="str">
        <f t="shared" si="1"/>
        <v>No</v>
      </c>
    </row>
    <row r="6" spans="1:10" x14ac:dyDescent="0.35">
      <c r="A6" s="2" t="s">
        <v>6</v>
      </c>
      <c r="B6" s="2">
        <v>7415</v>
      </c>
      <c r="C6" s="2">
        <v>5775</v>
      </c>
      <c r="D6" s="2">
        <v>1500</v>
      </c>
      <c r="E6" s="2">
        <f t="shared" si="0"/>
        <v>1640</v>
      </c>
      <c r="F6" s="2" t="str">
        <f t="shared" si="1"/>
        <v>No</v>
      </c>
    </row>
    <row r="7" spans="1:10" x14ac:dyDescent="0.35">
      <c r="A7" s="2" t="s">
        <v>7</v>
      </c>
      <c r="B7" s="2">
        <v>7186</v>
      </c>
      <c r="C7" s="2">
        <v>3462</v>
      </c>
      <c r="D7" s="2">
        <v>1000</v>
      </c>
      <c r="E7" s="2">
        <f t="shared" si="0"/>
        <v>3724</v>
      </c>
      <c r="F7" s="2" t="str">
        <f t="shared" si="1"/>
        <v>No</v>
      </c>
    </row>
    <row r="8" spans="1:10" x14ac:dyDescent="0.35">
      <c r="A8" s="2" t="s">
        <v>8</v>
      </c>
      <c r="B8" s="2">
        <v>6598</v>
      </c>
      <c r="C8" s="2">
        <v>5186</v>
      </c>
      <c r="D8" s="2">
        <v>1000</v>
      </c>
      <c r="E8" s="2">
        <f t="shared" si="0"/>
        <v>1412</v>
      </c>
      <c r="F8" s="2" t="str">
        <f t="shared" si="1"/>
        <v>No</v>
      </c>
    </row>
    <row r="9" spans="1:10" x14ac:dyDescent="0.35">
      <c r="A9" s="2" t="s">
        <v>9</v>
      </c>
      <c r="B9" s="2">
        <v>7473</v>
      </c>
      <c r="C9" s="2">
        <v>7170</v>
      </c>
      <c r="D9" s="2">
        <v>1500</v>
      </c>
      <c r="E9" s="2">
        <f t="shared" si="0"/>
        <v>303</v>
      </c>
      <c r="F9" s="2" t="str">
        <f t="shared" si="1"/>
        <v>Yes</v>
      </c>
    </row>
    <row r="10" spans="1:10" x14ac:dyDescent="0.35">
      <c r="A10" s="2" t="s">
        <v>10</v>
      </c>
      <c r="B10" s="2">
        <v>6409</v>
      </c>
      <c r="C10" s="2">
        <v>4559</v>
      </c>
      <c r="D10" s="2">
        <v>1000</v>
      </c>
      <c r="E10" s="2">
        <f t="shared" si="0"/>
        <v>1850</v>
      </c>
      <c r="F10" s="2" t="str">
        <f t="shared" si="1"/>
        <v>No</v>
      </c>
    </row>
    <row r="11" spans="1:10" x14ac:dyDescent="0.35">
      <c r="A11" s="2" t="s">
        <v>11</v>
      </c>
      <c r="B11" s="2">
        <v>6160</v>
      </c>
      <c r="C11" s="2">
        <v>5444</v>
      </c>
      <c r="D11" s="2">
        <v>1000</v>
      </c>
      <c r="E11" s="2">
        <f t="shared" si="0"/>
        <v>716</v>
      </c>
      <c r="F11" s="2" t="str">
        <f t="shared" si="1"/>
        <v>Yes</v>
      </c>
    </row>
    <row r="12" spans="1:10" x14ac:dyDescent="0.35">
      <c r="A12" s="2" t="s">
        <v>12</v>
      </c>
      <c r="B12" s="2">
        <v>7603</v>
      </c>
      <c r="C12" s="2">
        <v>5174</v>
      </c>
      <c r="D12" s="2">
        <v>1200</v>
      </c>
      <c r="E12" s="2">
        <f t="shared" si="0"/>
        <v>2429</v>
      </c>
      <c r="F12" s="2" t="str">
        <f t="shared" si="1"/>
        <v>No</v>
      </c>
    </row>
    <row r="13" spans="1:10" x14ac:dyDescent="0.35">
      <c r="A13" s="2" t="s">
        <v>13</v>
      </c>
      <c r="B13" s="2">
        <v>6996</v>
      </c>
      <c r="C13" s="2">
        <v>6031</v>
      </c>
      <c r="D13" s="2">
        <v>1500</v>
      </c>
      <c r="E13" s="2">
        <f t="shared" si="0"/>
        <v>965</v>
      </c>
      <c r="F13" s="2" t="str">
        <f t="shared" si="1"/>
        <v>Yes</v>
      </c>
    </row>
    <row r="14" spans="1:10" x14ac:dyDescent="0.35">
      <c r="A14" s="2" t="s">
        <v>14</v>
      </c>
      <c r="B14" s="2">
        <v>6674</v>
      </c>
      <c r="C14" s="2">
        <v>3281</v>
      </c>
      <c r="D14" s="2">
        <v>1500</v>
      </c>
      <c r="E14" s="2">
        <f t="shared" si="0"/>
        <v>3393</v>
      </c>
      <c r="F14" s="2" t="str">
        <f t="shared" si="1"/>
        <v>No</v>
      </c>
    </row>
    <row r="15" spans="1:10" x14ac:dyDescent="0.35">
      <c r="A15" s="2" t="s">
        <v>15</v>
      </c>
      <c r="B15" s="2">
        <v>6377</v>
      </c>
      <c r="C15" s="2">
        <v>3660</v>
      </c>
      <c r="D15" s="2">
        <v>1500</v>
      </c>
      <c r="E15" s="2">
        <f t="shared" si="0"/>
        <v>2717</v>
      </c>
      <c r="F15" s="2" t="str">
        <f t="shared" si="1"/>
        <v>No</v>
      </c>
    </row>
    <row r="16" spans="1:10" x14ac:dyDescent="0.35">
      <c r="A16" s="2" t="s">
        <v>16</v>
      </c>
      <c r="B16" s="2">
        <v>7415</v>
      </c>
      <c r="C16" s="2">
        <v>5775</v>
      </c>
      <c r="D16" s="2">
        <v>1000</v>
      </c>
      <c r="E16" s="2">
        <f t="shared" si="0"/>
        <v>1640</v>
      </c>
      <c r="F16" s="2" t="str">
        <f t="shared" si="1"/>
        <v>No</v>
      </c>
    </row>
    <row r="17" spans="1:6" x14ac:dyDescent="0.35">
      <c r="A17" s="2" t="s">
        <v>17</v>
      </c>
      <c r="B17" s="2">
        <v>7186</v>
      </c>
      <c r="C17" s="2">
        <v>3462</v>
      </c>
      <c r="D17" s="2">
        <v>1000</v>
      </c>
      <c r="E17" s="2">
        <f t="shared" si="0"/>
        <v>3724</v>
      </c>
      <c r="F17" s="2" t="str">
        <f t="shared" si="1"/>
        <v>No</v>
      </c>
    </row>
    <row r="18" spans="1:6" x14ac:dyDescent="0.35">
      <c r="A18" s="2" t="s">
        <v>18</v>
      </c>
      <c r="B18" s="2">
        <v>6598</v>
      </c>
      <c r="C18" s="2">
        <v>5186</v>
      </c>
      <c r="D18" s="2">
        <v>1500</v>
      </c>
      <c r="E18" s="2">
        <f t="shared" si="0"/>
        <v>1412</v>
      </c>
      <c r="F18" s="2" t="str">
        <f t="shared" si="1"/>
        <v>Yes</v>
      </c>
    </row>
    <row r="19" spans="1:6" x14ac:dyDescent="0.35">
      <c r="A19" s="2" t="s">
        <v>19</v>
      </c>
      <c r="B19" s="2">
        <v>7473</v>
      </c>
      <c r="C19" s="2">
        <v>7170</v>
      </c>
      <c r="D19" s="2">
        <v>1000</v>
      </c>
      <c r="E19" s="2">
        <f t="shared" si="0"/>
        <v>303</v>
      </c>
      <c r="F19" s="2" t="str">
        <f t="shared" si="1"/>
        <v>Yes</v>
      </c>
    </row>
    <row r="20" spans="1:6" x14ac:dyDescent="0.35">
      <c r="A20" s="2" t="s">
        <v>20</v>
      </c>
      <c r="B20" s="2">
        <v>6409</v>
      </c>
      <c r="C20" s="2">
        <v>4559</v>
      </c>
      <c r="D20" s="2">
        <v>1000</v>
      </c>
      <c r="E20" s="2">
        <f t="shared" si="0"/>
        <v>1850</v>
      </c>
      <c r="F20" s="2" t="str">
        <f t="shared" si="1"/>
        <v>No</v>
      </c>
    </row>
  </sheetData>
  <conditionalFormatting sqref="F2:F20">
    <cfRule type="containsText" dxfId="0" priority="2" operator="containsText" text="Yes">
      <formula>NOT(ISERROR(SEARCH("Yes",F2)))</formula>
    </cfRule>
    <cfRule type="containsText" dxfId="1" priority="1" operator="containsText" text="No">
      <formula>NOT(ISERROR(SEARCH("No",F2)))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ABCD Classification</vt:lpstr>
      <vt:lpstr>Re-Order Point &amp; XLOOKUP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Wingchee W</dc:creator>
  <cp:lastModifiedBy>Wingchee W</cp:lastModifiedBy>
  <dcterms:created xsi:type="dcterms:W3CDTF">2025-11-10T00:52:30Z</dcterms:created>
  <dcterms:modified xsi:type="dcterms:W3CDTF">2025-11-10T10:37:11Z</dcterms:modified>
</cp:coreProperties>
</file>