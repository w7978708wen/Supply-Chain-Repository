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gc\Downloads\Supply Chain Analysis\"/>
    </mc:Choice>
  </mc:AlternateContent>
  <xr:revisionPtr revIDLastSave="0" documentId="13_ncr:1_{0EA3FED5-E158-45DE-B3BF-0D00D5D1FE0E}" xr6:coauthVersionLast="47" xr6:coauthVersionMax="47" xr10:uidLastSave="{00000000-0000-0000-0000-000000000000}"/>
  <bookViews>
    <workbookView xWindow="19090" yWindow="-110" windowWidth="19420" windowHeight="10300" activeTab="1" xr2:uid="{00000000-000D-0000-FFFF-FFFF00000000}"/>
  </bookViews>
  <sheets>
    <sheet name="ABCD Classification" sheetId="1" r:id="rId1"/>
    <sheet name="Pivot Table – SKU Profits" sheetId="3" r:id="rId2"/>
    <sheet name="Re-Order Point &amp; XLOOKUP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" i="2"/>
  <c r="G2" i="1"/>
  <c r="F2" i="1"/>
  <c r="L4" i="1"/>
  <c r="E13" i="1"/>
  <c r="L13" i="1"/>
  <c r="L12" i="1"/>
  <c r="L6" i="1"/>
  <c r="L5" i="1"/>
  <c r="L11" i="1"/>
  <c r="E14" i="1" s="1"/>
  <c r="F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E12" i="1" l="1"/>
  <c r="E10" i="1"/>
  <c r="E8" i="1"/>
  <c r="E2" i="1"/>
  <c r="E7" i="1"/>
  <c r="G7" i="1" s="1"/>
  <c r="E20" i="1"/>
  <c r="G20" i="1" s="1"/>
  <c r="E6" i="1"/>
  <c r="G6" i="1" s="1"/>
  <c r="E19" i="1"/>
  <c r="G19" i="1" s="1"/>
  <c r="E5" i="1"/>
  <c r="G5" i="1" s="1"/>
  <c r="E11" i="1"/>
  <c r="G11" i="1" s="1"/>
  <c r="E9" i="1"/>
  <c r="E18" i="1"/>
  <c r="G18" i="1" s="1"/>
  <c r="E4" i="1"/>
  <c r="E17" i="1"/>
  <c r="E3" i="1"/>
  <c r="G3" i="1" s="1"/>
  <c r="E16" i="1"/>
  <c r="E15" i="1"/>
  <c r="F14" i="1"/>
  <c r="G14" i="1" s="1"/>
  <c r="F16" i="1"/>
  <c r="F15" i="1"/>
  <c r="F13" i="1"/>
  <c r="G13" i="1" s="1"/>
  <c r="F12" i="1"/>
  <c r="F11" i="1"/>
  <c r="F10" i="1"/>
  <c r="F9" i="1"/>
  <c r="F8" i="1"/>
  <c r="F7" i="1"/>
  <c r="F20" i="1"/>
  <c r="F6" i="1"/>
  <c r="F5" i="1"/>
  <c r="F4" i="1"/>
  <c r="F19" i="1"/>
  <c r="F18" i="1"/>
  <c r="F17" i="1"/>
  <c r="G9" i="1" l="1"/>
  <c r="G15" i="1"/>
  <c r="G8" i="1"/>
  <c r="G16" i="1"/>
  <c r="G10" i="1"/>
  <c r="G12" i="1"/>
  <c r="G17" i="1"/>
  <c r="G4" i="1"/>
</calcChain>
</file>

<file path=xl/sharedStrings.xml><?xml version="1.0" encoding="utf-8"?>
<sst xmlns="http://schemas.openxmlformats.org/spreadsheetml/2006/main" count="107" uniqueCount="48">
  <si>
    <t>SKU / Item</t>
  </si>
  <si>
    <t>Classification</t>
  </si>
  <si>
    <t>SKU99012</t>
  </si>
  <si>
    <t>SKU22769</t>
  </si>
  <si>
    <t>SKU22001</t>
  </si>
  <si>
    <t>SKU33445</t>
  </si>
  <si>
    <t>SKU99008</t>
  </si>
  <si>
    <t>SKU67887</t>
  </si>
  <si>
    <t>SKU99009</t>
  </si>
  <si>
    <t>SKU45456</t>
  </si>
  <si>
    <t>SKU99014</t>
  </si>
  <si>
    <t>SKU99006</t>
  </si>
  <si>
    <t>SKU99013</t>
  </si>
  <si>
    <t>SKU99005</t>
  </si>
  <si>
    <t>SKU98633</t>
  </si>
  <si>
    <t>SKU00912</t>
  </si>
  <si>
    <t>SKU99010</t>
  </si>
  <si>
    <t>SKU99011</t>
  </si>
  <si>
    <t>SKU99007</t>
  </si>
  <si>
    <t>SKU78512</t>
  </si>
  <si>
    <t>SKU45667</t>
  </si>
  <si>
    <t>Description</t>
  </si>
  <si>
    <t>Percentile</t>
  </si>
  <si>
    <t>Profit Per Unit</t>
  </si>
  <si>
    <t>A</t>
  </si>
  <si>
    <t>B</t>
  </si>
  <si>
    <t>C</t>
  </si>
  <si>
    <t>Top 20 percentile</t>
  </si>
  <si>
    <t>Sales Ranking</t>
  </si>
  <si>
    <t>Total Profit Ranking</t>
  </si>
  <si>
    <t>Discontinue?</t>
  </si>
  <si>
    <t>Top 40 percentile</t>
  </si>
  <si>
    <t>Top 60 percentile</t>
  </si>
  <si>
    <t>D</t>
  </si>
  <si>
    <t>Neither</t>
  </si>
  <si>
    <t>Total Profit</t>
  </si>
  <si>
    <t>Min amount</t>
  </si>
  <si>
    <t>Units Sold</t>
  </si>
  <si>
    <t>Beginning Stock</t>
  </si>
  <si>
    <t>Sales/Consumed</t>
  </si>
  <si>
    <t>Current Stock 
On Hand</t>
  </si>
  <si>
    <t>RE-ORDER 
POINT</t>
  </si>
  <si>
    <t>SKU</t>
  </si>
  <si>
    <t>Current Stock On Hand</t>
  </si>
  <si>
    <t>RE-ORDER</t>
  </si>
  <si>
    <t>XLOOKUP Search: Use SKU to Find Current Stock On Hand</t>
  </si>
  <si>
    <t>Sum of Total Profit</t>
  </si>
  <si>
    <t>Average Profit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</si>
</sst>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64" fontId="0" fillId="0" borderId="1" xfId="1" applyNumberFormat="1" applyFont="1" applyBorder="1"/>
  </cellXfs>
  <cellStyles count="2">
    <cellStyle name="Currency" xfId="1" builtinId="4"/>
    <cellStyle name="Normal" xfId="0" builtinId="0"/>
  </cellStyles>
  <dxfs count="91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gchee W" refreshedDate="45991.28678159722" createdVersion="8" refreshedVersion="8" minRefreshableVersion="3" recordCount="19" xr:uid="{879F5387-4519-4FE1-9C2D-BC6B8DF5E9C2}">
  <cacheSource type="worksheet">
    <worksheetSource ref="A1:G20" sheet="ABCD Classification"/>
  </cacheSource>
  <cacheFields count="7">
    <cacheField name="SKU / Item" numFmtId="0">
      <sharedItems count="19">
        <s v="SKU99012"/>
        <s v="SKU22769"/>
        <s v="SKU22001"/>
        <s v="SKU33445"/>
        <s v="SKU99008"/>
        <s v="SKU67887"/>
        <s v="SKU99009"/>
        <s v="SKU45456"/>
        <s v="SKU99014"/>
        <s v="SKU99006"/>
        <s v="SKU99013"/>
        <s v="SKU99005"/>
        <s v="SKU98633"/>
        <s v="SKU00912"/>
        <s v="SKU99010"/>
        <s v="SKU99011"/>
        <s v="SKU99007"/>
        <s v="SKU78512"/>
        <s v="SKU45667"/>
      </sharedItems>
    </cacheField>
    <cacheField name="Profit Per Unit" numFmtId="44">
      <sharedItems containsSemiMixedTypes="0" containsString="0" containsNumber="1" containsInteger="1" minValue="25" maxValue="48"/>
    </cacheField>
    <cacheField name="Units Sold" numFmtId="0">
      <sharedItems containsSemiMixedTypes="0" containsString="0" containsNumber="1" containsInteger="1" minValue="2691" maxValue="3905"/>
    </cacheField>
    <cacheField name="Total Profit" numFmtId="44">
      <sharedItems containsSemiMixedTypes="0" containsString="0" containsNumber="1" containsInteger="1" minValue="67275" maxValue="185040"/>
    </cacheField>
    <cacheField name="Sales Ranking" numFmtId="0">
      <sharedItems count="3">
        <s v="A"/>
        <s v="C"/>
        <s v="D"/>
      </sharedItems>
    </cacheField>
    <cacheField name="Total Profit Ranking" numFmtId="0">
      <sharedItems count="4">
        <s v="A"/>
        <s v="B"/>
        <s v="D"/>
        <s v="C"/>
      </sharedItems>
    </cacheField>
    <cacheField name="Discontinue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8"/>
    <n v="3855"/>
    <n v="185040"/>
    <x v="0"/>
    <x v="0"/>
    <s v="No"/>
  </r>
  <r>
    <x v="1"/>
    <n v="37"/>
    <n v="3672"/>
    <n v="135864"/>
    <x v="1"/>
    <x v="1"/>
    <s v="No"/>
  </r>
  <r>
    <x v="2"/>
    <n v="43"/>
    <n v="3601"/>
    <n v="154843"/>
    <x v="2"/>
    <x v="0"/>
    <s v="No"/>
  </r>
  <r>
    <x v="3"/>
    <n v="47"/>
    <n v="3876"/>
    <n v="182172"/>
    <x v="0"/>
    <x v="0"/>
    <s v="No"/>
  </r>
  <r>
    <x v="4"/>
    <n v="31"/>
    <n v="3446"/>
    <n v="106826"/>
    <x v="1"/>
    <x v="2"/>
    <s v="No"/>
  </r>
  <r>
    <x v="5"/>
    <n v="32"/>
    <n v="3694"/>
    <n v="118208"/>
    <x v="2"/>
    <x v="3"/>
    <s v="No"/>
  </r>
  <r>
    <x v="6"/>
    <n v="29"/>
    <n v="3220"/>
    <n v="93380"/>
    <x v="1"/>
    <x v="2"/>
    <s v="No"/>
  </r>
  <r>
    <x v="7"/>
    <n v="41"/>
    <n v="3295"/>
    <n v="135095"/>
    <x v="2"/>
    <x v="1"/>
    <s v="No"/>
  </r>
  <r>
    <x v="8"/>
    <n v="26"/>
    <n v="2895"/>
    <n v="75270"/>
    <x v="1"/>
    <x v="2"/>
    <s v="No"/>
  </r>
  <r>
    <x v="9"/>
    <n v="48"/>
    <n v="2875"/>
    <n v="138000"/>
    <x v="1"/>
    <x v="1"/>
    <s v="No"/>
  </r>
  <r>
    <x v="10"/>
    <n v="38"/>
    <n v="3485"/>
    <n v="132430"/>
    <x v="2"/>
    <x v="3"/>
    <s v="No"/>
  </r>
  <r>
    <x v="11"/>
    <n v="31"/>
    <n v="2813"/>
    <n v="87203"/>
    <x v="2"/>
    <x v="2"/>
    <s v="Yes"/>
  </r>
  <r>
    <x v="12"/>
    <n v="25"/>
    <n v="2691"/>
    <n v="67275"/>
    <x v="2"/>
    <x v="2"/>
    <s v="Yes"/>
  </r>
  <r>
    <x v="13"/>
    <n v="32"/>
    <n v="3905"/>
    <n v="124960"/>
    <x v="0"/>
    <x v="3"/>
    <s v="No"/>
  </r>
  <r>
    <x v="14"/>
    <n v="39"/>
    <n v="2768"/>
    <n v="107952"/>
    <x v="2"/>
    <x v="2"/>
    <s v="Yes"/>
  </r>
  <r>
    <x v="15"/>
    <n v="38"/>
    <n v="3539"/>
    <n v="134482"/>
    <x v="2"/>
    <x v="1"/>
    <s v="No"/>
  </r>
  <r>
    <x v="16"/>
    <n v="46"/>
    <n v="2767"/>
    <n v="127282"/>
    <x v="2"/>
    <x v="3"/>
    <s v="No"/>
  </r>
  <r>
    <x v="17"/>
    <n v="47"/>
    <n v="3844"/>
    <n v="180668"/>
    <x v="0"/>
    <x v="0"/>
    <s v="No"/>
  </r>
  <r>
    <x v="18"/>
    <n v="30"/>
    <n v="3240"/>
    <n v="97200"/>
    <x v="2"/>
    <x v="2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A6E0F-4FCB-4DA9-A9E6-5653386B7D39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Total Profit Ranking">
  <location ref="A3:C26" firstHeaderRow="0" firstDataRow="1" firstDataCol="1"/>
  <pivotFields count="7">
    <pivotField axis="axisRow" showAll="0" sortType="ascending">
      <items count="20">
        <item x="13"/>
        <item x="2"/>
        <item x="1"/>
        <item x="3"/>
        <item x="7"/>
        <item x="18"/>
        <item x="5"/>
        <item x="17"/>
        <item x="12"/>
        <item x="11"/>
        <item x="9"/>
        <item x="16"/>
        <item x="4"/>
        <item x="6"/>
        <item x="14"/>
        <item x="15"/>
        <item x="0"/>
        <item x="1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  <pivotField showAll="0"/>
    <pivotField dataField="1" numFmtId="44" showAll="0"/>
    <pivotField showAll="0">
      <items count="4">
        <item x="0"/>
        <item x="1"/>
        <item x="2"/>
        <item t="default"/>
      </items>
    </pivotField>
    <pivotField axis="axisRow" showAll="0" sortType="a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2">
    <field x="5"/>
    <field x="0"/>
  </rowFields>
  <rowItems count="23">
    <i>
      <x v="3"/>
    </i>
    <i r="1">
      <x v="8"/>
    </i>
    <i r="1">
      <x v="18"/>
    </i>
    <i r="1">
      <x v="13"/>
    </i>
    <i r="1">
      <x v="5"/>
    </i>
    <i r="1">
      <x v="12"/>
    </i>
    <i r="1">
      <x v="9"/>
    </i>
    <i r="1">
      <x v="14"/>
    </i>
    <i>
      <x v="2"/>
    </i>
    <i r="1">
      <x v="6"/>
    </i>
    <i r="1">
      <x/>
    </i>
    <i r="1">
      <x v="17"/>
    </i>
    <i r="1">
      <x v="11"/>
    </i>
    <i>
      <x v="1"/>
    </i>
    <i r="1">
      <x v="2"/>
    </i>
    <i r="1">
      <x v="15"/>
    </i>
    <i r="1">
      <x v="4"/>
    </i>
    <i r="1">
      <x v="10"/>
    </i>
    <i>
      <x/>
    </i>
    <i r="1">
      <x v="1"/>
    </i>
    <i r="1">
      <x v="3"/>
    </i>
    <i r="1">
      <x v="7"/>
    </i>
    <i r="1">
      <x v="16"/>
    </i>
  </rowItems>
  <colFields count="1">
    <field x="-2"/>
  </colFields>
  <colItems count="2">
    <i>
      <x/>
    </i>
    <i i="1">
      <x v="1"/>
    </i>
  </colItems>
  <dataFields count="2">
    <dataField name="Average Profit Per Unit" fld="1" subtotal="average" baseField="0" baseItem="0" numFmtId="44"/>
    <dataField name="Sum of Total Profit" fld="3" baseField="0" baseItem="0" numFmtId="164"/>
  </dataFields>
  <formats count="10">
    <format dxfId="90">
      <pivotArea collapsedLevelsAreSubtotals="1" fieldPosition="0">
        <references count="2">
          <reference field="4294967294" count="1" selected="0">
            <x v="0"/>
          </reference>
          <reference field="5" count="1">
            <x v="0"/>
          </reference>
        </references>
      </pivotArea>
    </format>
    <format dxfId="89">
      <pivotArea collapsedLevelsAreSubtotals="1" fieldPosition="0">
        <references count="3">
          <reference field="4294967294" count="1" selected="0">
            <x v="0"/>
          </reference>
          <reference field="0" count="4">
            <x v="1"/>
            <x v="3"/>
            <x v="7"/>
            <x v="16"/>
          </reference>
          <reference field="5" count="1" selected="0">
            <x v="0"/>
          </reference>
        </references>
      </pivotArea>
    </format>
    <format dxfId="88">
      <pivotArea collapsedLevelsAreSubtotals="1" fieldPosition="0">
        <references count="2">
          <reference field="4294967294" count="1" selected="0">
            <x v="0"/>
          </reference>
          <reference field="5" count="1">
            <x v="1"/>
          </reference>
        </references>
      </pivotArea>
    </format>
    <format dxfId="87">
      <pivotArea collapsedLevelsAreSubtotals="1" fieldPosition="0">
        <references count="3">
          <reference field="4294967294" count="1" selected="0">
            <x v="0"/>
          </reference>
          <reference field="0" count="4">
            <x v="2"/>
            <x v="4"/>
            <x v="10"/>
            <x v="15"/>
          </reference>
          <reference field="5" count="1" selected="0">
            <x v="1"/>
          </reference>
        </references>
      </pivotArea>
    </format>
    <format dxfId="86">
      <pivotArea collapsedLevelsAreSubtotals="1" fieldPosition="0">
        <references count="2">
          <reference field="4294967294" count="1" selected="0">
            <x v="0"/>
          </reference>
          <reference field="5" count="1">
            <x v="2"/>
          </reference>
        </references>
      </pivotArea>
    </format>
    <format dxfId="85">
      <pivotArea collapsedLevelsAreSubtotals="1" fieldPosition="0">
        <references count="3">
          <reference field="4294967294" count="1" selected="0">
            <x v="0"/>
          </reference>
          <reference field="0" count="4">
            <x v="0"/>
            <x v="6"/>
            <x v="11"/>
            <x v="17"/>
          </reference>
          <reference field="5" count="1" selected="0">
            <x v="2"/>
          </reference>
        </references>
      </pivotArea>
    </format>
    <format dxfId="84">
      <pivotArea collapsedLevelsAreSubtotals="1" fieldPosition="0">
        <references count="2">
          <reference field="4294967294" count="1" selected="0">
            <x v="0"/>
          </reference>
          <reference field="5" count="1">
            <x v="3"/>
          </reference>
        </references>
      </pivotArea>
    </format>
    <format dxfId="83">
      <pivotArea collapsedLevelsAreSubtotals="1" fieldPosition="0">
        <references count="3">
          <reference field="4294967294" count="1" selected="0">
            <x v="0"/>
          </reference>
          <reference field="0" count="7">
            <x v="5"/>
            <x v="8"/>
            <x v="9"/>
            <x v="12"/>
            <x v="13"/>
            <x v="14"/>
            <x v="18"/>
          </reference>
          <reference field="5" count="1" selected="0">
            <x v="3"/>
          </reference>
        </references>
      </pivotArea>
    </format>
    <format dxfId="82">
      <pivotArea field="5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workbookViewId="0">
      <selection activeCell="I20" sqref="I20"/>
    </sheetView>
  </sheetViews>
  <sheetFormatPr defaultRowHeight="14.5" x14ac:dyDescent="0.35"/>
  <cols>
    <col min="1" max="1" width="10.6328125" customWidth="1"/>
    <col min="2" max="2" width="13.1796875" customWidth="1"/>
    <col min="3" max="3" width="18" customWidth="1"/>
    <col min="4" max="4" width="15.81640625" customWidth="1"/>
    <col min="5" max="5" width="14.81640625" customWidth="1"/>
    <col min="6" max="6" width="18.453125" customWidth="1"/>
    <col min="7" max="7" width="11.7265625" customWidth="1"/>
    <col min="9" max="9" width="12.6328125" customWidth="1"/>
    <col min="10" max="10" width="16.08984375" customWidth="1"/>
    <col min="11" max="11" width="9.90625" customWidth="1"/>
    <col min="12" max="12" width="12.08984375" bestFit="1" customWidth="1"/>
  </cols>
  <sheetData>
    <row r="1" spans="1:12" x14ac:dyDescent="0.35">
      <c r="A1" s="1" t="s">
        <v>0</v>
      </c>
      <c r="B1" s="1" t="s">
        <v>23</v>
      </c>
      <c r="C1" s="1" t="s">
        <v>37</v>
      </c>
      <c r="D1" s="1" t="s">
        <v>35</v>
      </c>
      <c r="E1" s="1" t="s">
        <v>28</v>
      </c>
      <c r="F1" s="1" t="s">
        <v>29</v>
      </c>
      <c r="G1" s="1" t="s">
        <v>30</v>
      </c>
    </row>
    <row r="2" spans="1:12" x14ac:dyDescent="0.35">
      <c r="A2" s="2" t="s">
        <v>2</v>
      </c>
      <c r="B2" s="11">
        <v>48</v>
      </c>
      <c r="C2" s="2">
        <v>3855</v>
      </c>
      <c r="D2" s="11">
        <f>B2*C2</f>
        <v>185040</v>
      </c>
      <c r="E2" s="2" t="str">
        <f t="shared" ref="E2:E20" si="0">IF(C2&gt;=$L$11, "A", IF(C2&gt;= $L$11, "B", IF(C11&gt;=$L$13, "C", "D")))</f>
        <v>A</v>
      </c>
      <c r="F2" s="2" t="str">
        <f>IF(D2&gt;=$L$4,"A",IF(D2&gt;=$L$5,"B",IF(D2&gt;=$L$6,"C","D")))</f>
        <v>A</v>
      </c>
      <c r="G2" s="2" t="str">
        <f>IF(AND(E2="D",F2="D"),"Yes","No")</f>
        <v>No</v>
      </c>
      <c r="I2" t="s">
        <v>29</v>
      </c>
    </row>
    <row r="3" spans="1:12" x14ac:dyDescent="0.35">
      <c r="A3" s="2" t="s">
        <v>3</v>
      </c>
      <c r="B3" s="11">
        <v>37</v>
      </c>
      <c r="C3" s="2">
        <v>3672</v>
      </c>
      <c r="D3" s="11">
        <f t="shared" ref="D3:D20" si="1">B3*C3</f>
        <v>135864</v>
      </c>
      <c r="E3" s="2" t="str">
        <f t="shared" si="0"/>
        <v>C</v>
      </c>
      <c r="F3" s="2" t="str">
        <f t="shared" ref="F3:F20" si="2">IF(D3&gt;=$L$4,"A",IF(D3&gt;=$L$5,"B",IF(D3&gt;=$L$6,"C","D")))</f>
        <v>B</v>
      </c>
      <c r="G3" s="2" t="str">
        <f t="shared" ref="G3:G20" si="3">IF(AND(E3="D",F3="D"),"Yes","No")</f>
        <v>No</v>
      </c>
      <c r="I3" s="2" t="s">
        <v>1</v>
      </c>
      <c r="J3" s="2" t="s">
        <v>21</v>
      </c>
      <c r="K3" s="2" t="s">
        <v>22</v>
      </c>
      <c r="L3" s="4" t="s">
        <v>36</v>
      </c>
    </row>
    <row r="4" spans="1:12" x14ac:dyDescent="0.35">
      <c r="A4" s="2" t="s">
        <v>4</v>
      </c>
      <c r="B4" s="11">
        <v>43</v>
      </c>
      <c r="C4" s="2">
        <v>3601</v>
      </c>
      <c r="D4" s="11">
        <f t="shared" si="1"/>
        <v>154843</v>
      </c>
      <c r="E4" s="2" t="str">
        <f t="shared" si="0"/>
        <v>D</v>
      </c>
      <c r="F4" s="2" t="str">
        <f t="shared" si="2"/>
        <v>A</v>
      </c>
      <c r="G4" s="2" t="str">
        <f t="shared" si="3"/>
        <v>No</v>
      </c>
      <c r="I4" s="2" t="s">
        <v>24</v>
      </c>
      <c r="J4" s="2" t="s">
        <v>27</v>
      </c>
      <c r="K4" s="2">
        <v>0.2</v>
      </c>
      <c r="L4" s="3">
        <f>_xlfn.PERCENTILE.EXC($D2:$D20, 1-K4)</f>
        <v>154843</v>
      </c>
    </row>
    <row r="5" spans="1:12" x14ac:dyDescent="0.35">
      <c r="A5" s="2" t="s">
        <v>5</v>
      </c>
      <c r="B5" s="11">
        <v>47</v>
      </c>
      <c r="C5" s="2">
        <v>3876</v>
      </c>
      <c r="D5" s="11">
        <f t="shared" si="1"/>
        <v>182172</v>
      </c>
      <c r="E5" s="2" t="str">
        <f t="shared" si="0"/>
        <v>A</v>
      </c>
      <c r="F5" s="2" t="str">
        <f t="shared" si="2"/>
        <v>A</v>
      </c>
      <c r="G5" s="2" t="str">
        <f t="shared" si="3"/>
        <v>No</v>
      </c>
      <c r="I5" s="2" t="s">
        <v>25</v>
      </c>
      <c r="J5" s="2" t="s">
        <v>31</v>
      </c>
      <c r="K5" s="2">
        <v>0.4</v>
      </c>
      <c r="L5" s="3">
        <f>_xlfn.PERCENTILE.EXC($D2:$D20, 1-K5)</f>
        <v>134482</v>
      </c>
    </row>
    <row r="6" spans="1:12" x14ac:dyDescent="0.35">
      <c r="A6" s="2" t="s">
        <v>6</v>
      </c>
      <c r="B6" s="11">
        <v>31</v>
      </c>
      <c r="C6" s="2">
        <v>3446</v>
      </c>
      <c r="D6" s="11">
        <f t="shared" si="1"/>
        <v>106826</v>
      </c>
      <c r="E6" s="2" t="str">
        <f t="shared" si="0"/>
        <v>C</v>
      </c>
      <c r="F6" s="2" t="str">
        <f t="shared" si="2"/>
        <v>D</v>
      </c>
      <c r="G6" s="2" t="str">
        <f t="shared" si="3"/>
        <v>No</v>
      </c>
      <c r="I6" s="2" t="s">
        <v>26</v>
      </c>
      <c r="J6" s="2" t="s">
        <v>32</v>
      </c>
      <c r="K6" s="2">
        <v>0.6</v>
      </c>
      <c r="L6" s="3">
        <f>_xlfn.PERCENTILE.EXC($D2:$D20, 1-K6)</f>
        <v>118208</v>
      </c>
    </row>
    <row r="7" spans="1:12" x14ac:dyDescent="0.35">
      <c r="A7" s="2" t="s">
        <v>7</v>
      </c>
      <c r="B7" s="11">
        <v>32</v>
      </c>
      <c r="C7" s="2">
        <v>3694</v>
      </c>
      <c r="D7" s="11">
        <f t="shared" si="1"/>
        <v>118208</v>
      </c>
      <c r="E7" s="2" t="str">
        <f t="shared" si="0"/>
        <v>D</v>
      </c>
      <c r="F7" s="2" t="str">
        <f t="shared" si="2"/>
        <v>C</v>
      </c>
      <c r="G7" s="2" t="str">
        <f t="shared" si="3"/>
        <v>No</v>
      </c>
      <c r="I7" s="2" t="s">
        <v>33</v>
      </c>
      <c r="J7" s="2" t="s">
        <v>34</v>
      </c>
      <c r="K7" s="2"/>
      <c r="L7" s="2"/>
    </row>
    <row r="8" spans="1:12" x14ac:dyDescent="0.35">
      <c r="A8" s="2" t="s">
        <v>8</v>
      </c>
      <c r="B8" s="11">
        <v>29</v>
      </c>
      <c r="C8" s="2">
        <v>3220</v>
      </c>
      <c r="D8" s="11">
        <f t="shared" si="1"/>
        <v>93380</v>
      </c>
      <c r="E8" s="2" t="str">
        <f t="shared" si="0"/>
        <v>C</v>
      </c>
      <c r="F8" s="2" t="str">
        <f t="shared" si="2"/>
        <v>D</v>
      </c>
      <c r="G8" s="2" t="str">
        <f t="shared" si="3"/>
        <v>No</v>
      </c>
    </row>
    <row r="9" spans="1:12" x14ac:dyDescent="0.35">
      <c r="A9" s="2" t="s">
        <v>9</v>
      </c>
      <c r="B9" s="11">
        <v>41</v>
      </c>
      <c r="C9" s="2">
        <v>3295</v>
      </c>
      <c r="D9" s="11">
        <f t="shared" si="1"/>
        <v>135095</v>
      </c>
      <c r="E9" s="2" t="str">
        <f t="shared" si="0"/>
        <v>D</v>
      </c>
      <c r="F9" s="2" t="str">
        <f t="shared" si="2"/>
        <v>B</v>
      </c>
      <c r="G9" s="2" t="str">
        <f t="shared" si="3"/>
        <v>No</v>
      </c>
      <c r="I9" t="s">
        <v>28</v>
      </c>
    </row>
    <row r="10" spans="1:12" x14ac:dyDescent="0.35">
      <c r="A10" s="2" t="s">
        <v>10</v>
      </c>
      <c r="B10" s="11">
        <v>26</v>
      </c>
      <c r="C10" s="2">
        <v>2895</v>
      </c>
      <c r="D10" s="11">
        <f t="shared" si="1"/>
        <v>75270</v>
      </c>
      <c r="E10" s="2" t="str">
        <f t="shared" si="0"/>
        <v>C</v>
      </c>
      <c r="F10" s="2" t="str">
        <f t="shared" si="2"/>
        <v>D</v>
      </c>
      <c r="G10" s="2" t="str">
        <f t="shared" si="3"/>
        <v>No</v>
      </c>
      <c r="I10" s="2" t="s">
        <v>1</v>
      </c>
      <c r="J10" s="2" t="s">
        <v>21</v>
      </c>
      <c r="K10" s="2" t="s">
        <v>22</v>
      </c>
      <c r="L10" s="4" t="s">
        <v>36</v>
      </c>
    </row>
    <row r="11" spans="1:12" x14ac:dyDescent="0.35">
      <c r="A11" s="2" t="s">
        <v>11</v>
      </c>
      <c r="B11" s="11">
        <v>48</v>
      </c>
      <c r="C11" s="2">
        <v>2875</v>
      </c>
      <c r="D11" s="11">
        <f t="shared" si="1"/>
        <v>138000</v>
      </c>
      <c r="E11" s="2" t="str">
        <f t="shared" si="0"/>
        <v>C</v>
      </c>
      <c r="F11" s="2" t="str">
        <f t="shared" si="2"/>
        <v>B</v>
      </c>
      <c r="G11" s="2" t="str">
        <f t="shared" si="3"/>
        <v>No</v>
      </c>
      <c r="I11" s="2" t="s">
        <v>24</v>
      </c>
      <c r="J11" s="2" t="s">
        <v>27</v>
      </c>
      <c r="K11" s="2">
        <v>0.2</v>
      </c>
      <c r="L11" s="2">
        <f>_xlfn.PERCENTILE.EXC($C2:$C20, 1-K11)</f>
        <v>3844</v>
      </c>
    </row>
    <row r="12" spans="1:12" x14ac:dyDescent="0.35">
      <c r="A12" s="2" t="s">
        <v>12</v>
      </c>
      <c r="B12" s="11">
        <v>38</v>
      </c>
      <c r="C12" s="2">
        <v>3485</v>
      </c>
      <c r="D12" s="11">
        <f t="shared" si="1"/>
        <v>132430</v>
      </c>
      <c r="E12" s="2" t="str">
        <f t="shared" si="0"/>
        <v>D</v>
      </c>
      <c r="F12" s="2" t="str">
        <f t="shared" si="2"/>
        <v>C</v>
      </c>
      <c r="G12" s="2" t="str">
        <f t="shared" si="3"/>
        <v>No</v>
      </c>
      <c r="I12" s="2" t="s">
        <v>25</v>
      </c>
      <c r="J12" s="2" t="s">
        <v>31</v>
      </c>
      <c r="K12" s="2">
        <v>0.4</v>
      </c>
      <c r="L12" s="2">
        <f>_xlfn.PERCENTILE.EXC($C2:$C20, 1-K12)</f>
        <v>3539</v>
      </c>
    </row>
    <row r="13" spans="1:12" x14ac:dyDescent="0.35">
      <c r="A13" s="2" t="s">
        <v>13</v>
      </c>
      <c r="B13" s="11">
        <v>31</v>
      </c>
      <c r="C13" s="2">
        <v>2813</v>
      </c>
      <c r="D13" s="11">
        <f t="shared" si="1"/>
        <v>87203</v>
      </c>
      <c r="E13" s="2" t="str">
        <f t="shared" si="0"/>
        <v>D</v>
      </c>
      <c r="F13" s="2" t="str">
        <f t="shared" si="2"/>
        <v>D</v>
      </c>
      <c r="G13" s="2" t="str">
        <f t="shared" si="3"/>
        <v>Yes</v>
      </c>
      <c r="I13" s="2" t="s">
        <v>26</v>
      </c>
      <c r="J13" s="2" t="s">
        <v>32</v>
      </c>
      <c r="K13" s="2">
        <v>0.6</v>
      </c>
      <c r="L13" s="2">
        <f>_xlfn.PERCENTILE.EXC($C2:$C20, 1-K13)</f>
        <v>3240</v>
      </c>
    </row>
    <row r="14" spans="1:12" x14ac:dyDescent="0.35">
      <c r="A14" s="2" t="s">
        <v>14</v>
      </c>
      <c r="B14" s="11">
        <v>25</v>
      </c>
      <c r="C14" s="2">
        <v>2691</v>
      </c>
      <c r="D14" s="11">
        <f t="shared" si="1"/>
        <v>67275</v>
      </c>
      <c r="E14" s="2" t="str">
        <f t="shared" si="0"/>
        <v>D</v>
      </c>
      <c r="F14" s="2" t="str">
        <f t="shared" si="2"/>
        <v>D</v>
      </c>
      <c r="G14" s="2" t="str">
        <f t="shared" si="3"/>
        <v>Yes</v>
      </c>
      <c r="I14" s="2" t="s">
        <v>33</v>
      </c>
      <c r="J14" s="2" t="s">
        <v>34</v>
      </c>
      <c r="K14" s="2"/>
      <c r="L14" s="2"/>
    </row>
    <row r="15" spans="1:12" x14ac:dyDescent="0.35">
      <c r="A15" s="2" t="s">
        <v>15</v>
      </c>
      <c r="B15" s="11">
        <v>32</v>
      </c>
      <c r="C15" s="2">
        <v>3905</v>
      </c>
      <c r="D15" s="11">
        <f t="shared" si="1"/>
        <v>124960</v>
      </c>
      <c r="E15" s="2" t="str">
        <f t="shared" si="0"/>
        <v>A</v>
      </c>
      <c r="F15" s="2" t="str">
        <f t="shared" si="2"/>
        <v>C</v>
      </c>
      <c r="G15" s="2" t="str">
        <f t="shared" si="3"/>
        <v>No</v>
      </c>
    </row>
    <row r="16" spans="1:12" x14ac:dyDescent="0.35">
      <c r="A16" s="2" t="s">
        <v>16</v>
      </c>
      <c r="B16" s="11">
        <v>39</v>
      </c>
      <c r="C16" s="2">
        <v>2768</v>
      </c>
      <c r="D16" s="11">
        <f t="shared" si="1"/>
        <v>107952</v>
      </c>
      <c r="E16" s="2" t="str">
        <f t="shared" si="0"/>
        <v>D</v>
      </c>
      <c r="F16" s="2" t="str">
        <f t="shared" si="2"/>
        <v>D</v>
      </c>
      <c r="G16" s="2" t="str">
        <f t="shared" si="3"/>
        <v>Yes</v>
      </c>
    </row>
    <row r="17" spans="1:7" x14ac:dyDescent="0.35">
      <c r="A17" s="2" t="s">
        <v>17</v>
      </c>
      <c r="B17" s="11">
        <v>38</v>
      </c>
      <c r="C17" s="2">
        <v>3539</v>
      </c>
      <c r="D17" s="11">
        <f t="shared" si="1"/>
        <v>134482</v>
      </c>
      <c r="E17" s="2" t="str">
        <f t="shared" si="0"/>
        <v>D</v>
      </c>
      <c r="F17" s="2" t="str">
        <f t="shared" si="2"/>
        <v>B</v>
      </c>
      <c r="G17" s="2" t="str">
        <f t="shared" si="3"/>
        <v>No</v>
      </c>
    </row>
    <row r="18" spans="1:7" x14ac:dyDescent="0.35">
      <c r="A18" s="2" t="s">
        <v>18</v>
      </c>
      <c r="B18" s="11">
        <v>46</v>
      </c>
      <c r="C18" s="2">
        <v>2767</v>
      </c>
      <c r="D18" s="11">
        <f t="shared" si="1"/>
        <v>127282</v>
      </c>
      <c r="E18" s="2" t="str">
        <f t="shared" si="0"/>
        <v>D</v>
      </c>
      <c r="F18" s="2" t="str">
        <f t="shared" si="2"/>
        <v>C</v>
      </c>
      <c r="G18" s="2" t="str">
        <f t="shared" si="3"/>
        <v>No</v>
      </c>
    </row>
    <row r="19" spans="1:7" x14ac:dyDescent="0.35">
      <c r="A19" s="2" t="s">
        <v>19</v>
      </c>
      <c r="B19" s="11">
        <v>47</v>
      </c>
      <c r="C19" s="2">
        <v>3844</v>
      </c>
      <c r="D19" s="11">
        <f t="shared" si="1"/>
        <v>180668</v>
      </c>
      <c r="E19" s="2" t="str">
        <f t="shared" si="0"/>
        <v>A</v>
      </c>
      <c r="F19" s="2" t="str">
        <f t="shared" si="2"/>
        <v>A</v>
      </c>
      <c r="G19" s="2" t="str">
        <f t="shared" si="3"/>
        <v>No</v>
      </c>
    </row>
    <row r="20" spans="1:7" x14ac:dyDescent="0.35">
      <c r="A20" s="2" t="s">
        <v>20</v>
      </c>
      <c r="B20" s="11">
        <v>30</v>
      </c>
      <c r="C20" s="2">
        <v>3240</v>
      </c>
      <c r="D20" s="11">
        <f t="shared" si="1"/>
        <v>97200</v>
      </c>
      <c r="E20" s="2" t="str">
        <f t="shared" si="0"/>
        <v>D</v>
      </c>
      <c r="F20" s="2" t="str">
        <f t="shared" si="2"/>
        <v>D</v>
      </c>
      <c r="G20" s="2" t="str">
        <f t="shared" si="3"/>
        <v>Yes</v>
      </c>
    </row>
  </sheetData>
  <conditionalFormatting sqref="G2:G20">
    <cfRule type="containsText" dxfId="81" priority="1" operator="containsText" text="No">
      <formula>NOT(ISERROR(SEARCH("No",G2)))</formula>
    </cfRule>
    <cfRule type="containsText" dxfId="80" priority="2" operator="containsText" text="Yes">
      <formula>NOT(ISERROR(SEARCH("Yes",G2)))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111E-F033-4953-92C1-1AB6E9A8C3D6}">
  <dimension ref="A3:C26"/>
  <sheetViews>
    <sheetView tabSelected="1" topLeftCell="A2" zoomScale="90" zoomScaleNormal="90" workbookViewId="0">
      <selection activeCell="E11" sqref="E11"/>
    </sheetView>
  </sheetViews>
  <sheetFormatPr defaultRowHeight="14.5" x14ac:dyDescent="0.35"/>
  <cols>
    <col min="1" max="1" width="19.81640625" bestFit="1" customWidth="1"/>
    <col min="2" max="2" width="20.1796875" bestFit="1" customWidth="1"/>
    <col min="3" max="3" width="16.6328125" bestFit="1" customWidth="1"/>
  </cols>
  <sheetData>
    <row r="3" spans="1:3" x14ac:dyDescent="0.35">
      <c r="A3" s="7" t="s">
        <v>29</v>
      </c>
      <c r="B3" t="s">
        <v>47</v>
      </c>
      <c r="C3" t="s">
        <v>46</v>
      </c>
    </row>
    <row r="4" spans="1:3" x14ac:dyDescent="0.35">
      <c r="A4" s="8" t="s">
        <v>33</v>
      </c>
      <c r="B4" s="10">
        <v>30.142857142857142</v>
      </c>
      <c r="C4" s="10">
        <v>635106</v>
      </c>
    </row>
    <row r="5" spans="1:3" x14ac:dyDescent="0.35">
      <c r="A5" s="9" t="s">
        <v>14</v>
      </c>
      <c r="B5" s="10">
        <v>25</v>
      </c>
      <c r="C5" s="10">
        <v>67275</v>
      </c>
    </row>
    <row r="6" spans="1:3" x14ac:dyDescent="0.35">
      <c r="A6" s="9" t="s">
        <v>10</v>
      </c>
      <c r="B6" s="10">
        <v>26</v>
      </c>
      <c r="C6" s="10">
        <v>75270</v>
      </c>
    </row>
    <row r="7" spans="1:3" x14ac:dyDescent="0.35">
      <c r="A7" s="9" t="s">
        <v>8</v>
      </c>
      <c r="B7" s="10">
        <v>29</v>
      </c>
      <c r="C7" s="10">
        <v>93380</v>
      </c>
    </row>
    <row r="8" spans="1:3" x14ac:dyDescent="0.35">
      <c r="A8" s="9" t="s">
        <v>20</v>
      </c>
      <c r="B8" s="10">
        <v>30</v>
      </c>
      <c r="C8" s="10">
        <v>97200</v>
      </c>
    </row>
    <row r="9" spans="1:3" x14ac:dyDescent="0.35">
      <c r="A9" s="9" t="s">
        <v>6</v>
      </c>
      <c r="B9" s="10">
        <v>31</v>
      </c>
      <c r="C9" s="10">
        <v>106826</v>
      </c>
    </row>
    <row r="10" spans="1:3" x14ac:dyDescent="0.35">
      <c r="A10" s="9" t="s">
        <v>13</v>
      </c>
      <c r="B10" s="10">
        <v>31</v>
      </c>
      <c r="C10" s="10">
        <v>87203</v>
      </c>
    </row>
    <row r="11" spans="1:3" x14ac:dyDescent="0.35">
      <c r="A11" s="9" t="s">
        <v>16</v>
      </c>
      <c r="B11" s="10">
        <v>39</v>
      </c>
      <c r="C11" s="10">
        <v>107952</v>
      </c>
    </row>
    <row r="12" spans="1:3" x14ac:dyDescent="0.35">
      <c r="A12" s="8" t="s">
        <v>26</v>
      </c>
      <c r="B12" s="10">
        <v>37</v>
      </c>
      <c r="C12" s="10">
        <v>502880</v>
      </c>
    </row>
    <row r="13" spans="1:3" x14ac:dyDescent="0.35">
      <c r="A13" s="9" t="s">
        <v>7</v>
      </c>
      <c r="B13" s="10">
        <v>32</v>
      </c>
      <c r="C13" s="10">
        <v>118208</v>
      </c>
    </row>
    <row r="14" spans="1:3" x14ac:dyDescent="0.35">
      <c r="A14" s="9" t="s">
        <v>15</v>
      </c>
      <c r="B14" s="10">
        <v>32</v>
      </c>
      <c r="C14" s="10">
        <v>124960</v>
      </c>
    </row>
    <row r="15" spans="1:3" x14ac:dyDescent="0.35">
      <c r="A15" s="9" t="s">
        <v>12</v>
      </c>
      <c r="B15" s="10">
        <v>38</v>
      </c>
      <c r="C15" s="10">
        <v>132430</v>
      </c>
    </row>
    <row r="16" spans="1:3" x14ac:dyDescent="0.35">
      <c r="A16" s="9" t="s">
        <v>18</v>
      </c>
      <c r="B16" s="10">
        <v>46</v>
      </c>
      <c r="C16" s="10">
        <v>127282</v>
      </c>
    </row>
    <row r="17" spans="1:3" x14ac:dyDescent="0.35">
      <c r="A17" s="8" t="s">
        <v>25</v>
      </c>
      <c r="B17" s="10">
        <v>41</v>
      </c>
      <c r="C17" s="10">
        <v>543441</v>
      </c>
    </row>
    <row r="18" spans="1:3" x14ac:dyDescent="0.35">
      <c r="A18" s="9" t="s">
        <v>3</v>
      </c>
      <c r="B18" s="10">
        <v>37</v>
      </c>
      <c r="C18" s="10">
        <v>135864</v>
      </c>
    </row>
    <row r="19" spans="1:3" x14ac:dyDescent="0.35">
      <c r="A19" s="9" t="s">
        <v>17</v>
      </c>
      <c r="B19" s="10">
        <v>38</v>
      </c>
      <c r="C19" s="10">
        <v>134482</v>
      </c>
    </row>
    <row r="20" spans="1:3" x14ac:dyDescent="0.35">
      <c r="A20" s="9" t="s">
        <v>9</v>
      </c>
      <c r="B20" s="10">
        <v>41</v>
      </c>
      <c r="C20" s="10">
        <v>135095</v>
      </c>
    </row>
    <row r="21" spans="1:3" x14ac:dyDescent="0.35">
      <c r="A21" s="9" t="s">
        <v>11</v>
      </c>
      <c r="B21" s="10">
        <v>48</v>
      </c>
      <c r="C21" s="10">
        <v>138000</v>
      </c>
    </row>
    <row r="22" spans="1:3" x14ac:dyDescent="0.35">
      <c r="A22" s="8" t="s">
        <v>24</v>
      </c>
      <c r="B22" s="10">
        <v>46.25</v>
      </c>
      <c r="C22" s="10">
        <v>702723</v>
      </c>
    </row>
    <row r="23" spans="1:3" x14ac:dyDescent="0.35">
      <c r="A23" s="9" t="s">
        <v>4</v>
      </c>
      <c r="B23" s="10">
        <v>43</v>
      </c>
      <c r="C23" s="10">
        <v>154843</v>
      </c>
    </row>
    <row r="24" spans="1:3" x14ac:dyDescent="0.35">
      <c r="A24" s="9" t="s">
        <v>5</v>
      </c>
      <c r="B24" s="10">
        <v>47</v>
      </c>
      <c r="C24" s="10">
        <v>182172</v>
      </c>
    </row>
    <row r="25" spans="1:3" x14ac:dyDescent="0.35">
      <c r="A25" s="9" t="s">
        <v>19</v>
      </c>
      <c r="B25" s="10">
        <v>47</v>
      </c>
      <c r="C25" s="10">
        <v>180668</v>
      </c>
    </row>
    <row r="26" spans="1:3" x14ac:dyDescent="0.35">
      <c r="A26" s="9" t="s">
        <v>2</v>
      </c>
      <c r="B26" s="10">
        <v>48</v>
      </c>
      <c r="C26" s="10">
        <v>185040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7DDC-48D0-40B1-82D8-F331944AFEAA}">
  <dimension ref="A1:J20"/>
  <sheetViews>
    <sheetView workbookViewId="0">
      <selection activeCell="P15" sqref="P15"/>
    </sheetView>
  </sheetViews>
  <sheetFormatPr defaultRowHeight="14.5" x14ac:dyDescent="0.35"/>
  <cols>
    <col min="1" max="1" width="12.26953125" customWidth="1"/>
    <col min="2" max="2" width="14.90625" customWidth="1"/>
    <col min="3" max="3" width="14.81640625" customWidth="1"/>
    <col min="4" max="4" width="11.54296875" customWidth="1"/>
    <col min="5" max="5" width="19.7265625" customWidth="1"/>
    <col min="6" max="6" width="11.1796875" customWidth="1"/>
    <col min="10" max="10" width="20.54296875" customWidth="1"/>
  </cols>
  <sheetData>
    <row r="1" spans="1:10" ht="29" x14ac:dyDescent="0.35">
      <c r="A1" s="1" t="s">
        <v>0</v>
      </c>
      <c r="B1" s="5" t="s">
        <v>38</v>
      </c>
      <c r="C1" s="6" t="s">
        <v>39</v>
      </c>
      <c r="D1" s="6" t="s">
        <v>41</v>
      </c>
      <c r="E1" s="6" t="s">
        <v>40</v>
      </c>
      <c r="F1" s="5" t="s">
        <v>44</v>
      </c>
      <c r="I1" t="s">
        <v>45</v>
      </c>
    </row>
    <row r="2" spans="1:10" x14ac:dyDescent="0.35">
      <c r="A2" s="2" t="s">
        <v>2</v>
      </c>
      <c r="B2" s="2">
        <v>7603</v>
      </c>
      <c r="C2" s="2">
        <v>5174</v>
      </c>
      <c r="D2" s="2">
        <v>1000</v>
      </c>
      <c r="E2" s="2">
        <f>B2-C2</f>
        <v>2429</v>
      </c>
      <c r="F2" s="2" t="str">
        <f>IF(E2&gt;=D2,"No", "Yes")</f>
        <v>No</v>
      </c>
    </row>
    <row r="3" spans="1:10" x14ac:dyDescent="0.35">
      <c r="A3" s="2" t="s">
        <v>3</v>
      </c>
      <c r="B3" s="2">
        <v>6996</v>
      </c>
      <c r="C3" s="2">
        <v>6031</v>
      </c>
      <c r="D3" s="2">
        <v>1200</v>
      </c>
      <c r="E3" s="2">
        <f t="shared" ref="E3:E20" si="0">B3-C3</f>
        <v>965</v>
      </c>
      <c r="F3" s="2" t="str">
        <f t="shared" ref="F3:F20" si="1">IF(E3&gt;=D3,"No", "Yes")</f>
        <v>Yes</v>
      </c>
      <c r="I3" s="5" t="s">
        <v>42</v>
      </c>
      <c r="J3" s="5" t="s">
        <v>43</v>
      </c>
    </row>
    <row r="4" spans="1:10" x14ac:dyDescent="0.35">
      <c r="A4" s="2" t="s">
        <v>4</v>
      </c>
      <c r="B4" s="2">
        <v>6674</v>
      </c>
      <c r="C4" s="2">
        <v>3281</v>
      </c>
      <c r="D4" s="2">
        <v>1500</v>
      </c>
      <c r="E4" s="2">
        <f t="shared" si="0"/>
        <v>3393</v>
      </c>
      <c r="F4" s="2" t="str">
        <f t="shared" si="1"/>
        <v>No</v>
      </c>
      <c r="I4" s="2" t="s">
        <v>2</v>
      </c>
      <c r="J4" s="2">
        <f>_xlfn.XLOOKUP(I4,A:A,E:E,"SKU Not Found",0)</f>
        <v>2429</v>
      </c>
    </row>
    <row r="5" spans="1:10" x14ac:dyDescent="0.35">
      <c r="A5" s="2" t="s">
        <v>5</v>
      </c>
      <c r="B5" s="2">
        <v>6377</v>
      </c>
      <c r="C5" s="2">
        <v>3660</v>
      </c>
      <c r="D5" s="2">
        <v>1500</v>
      </c>
      <c r="E5" s="2">
        <f t="shared" si="0"/>
        <v>2717</v>
      </c>
      <c r="F5" s="2" t="str">
        <f t="shared" si="1"/>
        <v>No</v>
      </c>
    </row>
    <row r="6" spans="1:10" x14ac:dyDescent="0.35">
      <c r="A6" s="2" t="s">
        <v>6</v>
      </c>
      <c r="B6" s="2">
        <v>7415</v>
      </c>
      <c r="C6" s="2">
        <v>5775</v>
      </c>
      <c r="D6" s="2">
        <v>1500</v>
      </c>
      <c r="E6" s="2">
        <f t="shared" si="0"/>
        <v>1640</v>
      </c>
      <c r="F6" s="2" t="str">
        <f t="shared" si="1"/>
        <v>No</v>
      </c>
    </row>
    <row r="7" spans="1:10" x14ac:dyDescent="0.35">
      <c r="A7" s="2" t="s">
        <v>7</v>
      </c>
      <c r="B7" s="2">
        <v>7186</v>
      </c>
      <c r="C7" s="2">
        <v>3462</v>
      </c>
      <c r="D7" s="2">
        <v>1000</v>
      </c>
      <c r="E7" s="2">
        <f t="shared" si="0"/>
        <v>3724</v>
      </c>
      <c r="F7" s="2" t="str">
        <f t="shared" si="1"/>
        <v>No</v>
      </c>
    </row>
    <row r="8" spans="1:10" x14ac:dyDescent="0.35">
      <c r="A8" s="2" t="s">
        <v>8</v>
      </c>
      <c r="B8" s="2">
        <v>6598</v>
      </c>
      <c r="C8" s="2">
        <v>5186</v>
      </c>
      <c r="D8" s="2">
        <v>1000</v>
      </c>
      <c r="E8" s="2">
        <f t="shared" si="0"/>
        <v>1412</v>
      </c>
      <c r="F8" s="2" t="str">
        <f t="shared" si="1"/>
        <v>No</v>
      </c>
    </row>
    <row r="9" spans="1:10" x14ac:dyDescent="0.35">
      <c r="A9" s="2" t="s">
        <v>9</v>
      </c>
      <c r="B9" s="2">
        <v>7473</v>
      </c>
      <c r="C9" s="2">
        <v>7170</v>
      </c>
      <c r="D9" s="2">
        <v>1500</v>
      </c>
      <c r="E9" s="2">
        <f t="shared" si="0"/>
        <v>303</v>
      </c>
      <c r="F9" s="2" t="str">
        <f t="shared" si="1"/>
        <v>Yes</v>
      </c>
    </row>
    <row r="10" spans="1:10" x14ac:dyDescent="0.35">
      <c r="A10" s="2" t="s">
        <v>10</v>
      </c>
      <c r="B10" s="2">
        <v>6409</v>
      </c>
      <c r="C10" s="2">
        <v>4559</v>
      </c>
      <c r="D10" s="2">
        <v>1000</v>
      </c>
      <c r="E10" s="2">
        <f t="shared" si="0"/>
        <v>1850</v>
      </c>
      <c r="F10" s="2" t="str">
        <f t="shared" si="1"/>
        <v>No</v>
      </c>
    </row>
    <row r="11" spans="1:10" x14ac:dyDescent="0.35">
      <c r="A11" s="2" t="s">
        <v>11</v>
      </c>
      <c r="B11" s="2">
        <v>6160</v>
      </c>
      <c r="C11" s="2">
        <v>5444</v>
      </c>
      <c r="D11" s="2">
        <v>1000</v>
      </c>
      <c r="E11" s="2">
        <f t="shared" si="0"/>
        <v>716</v>
      </c>
      <c r="F11" s="2" t="str">
        <f t="shared" si="1"/>
        <v>Yes</v>
      </c>
    </row>
    <row r="12" spans="1:10" x14ac:dyDescent="0.35">
      <c r="A12" s="2" t="s">
        <v>12</v>
      </c>
      <c r="B12" s="2">
        <v>7603</v>
      </c>
      <c r="C12" s="2">
        <v>5174</v>
      </c>
      <c r="D12" s="2">
        <v>1200</v>
      </c>
      <c r="E12" s="2">
        <f t="shared" si="0"/>
        <v>2429</v>
      </c>
      <c r="F12" s="2" t="str">
        <f t="shared" si="1"/>
        <v>No</v>
      </c>
    </row>
    <row r="13" spans="1:10" x14ac:dyDescent="0.35">
      <c r="A13" s="2" t="s">
        <v>13</v>
      </c>
      <c r="B13" s="2">
        <v>6996</v>
      </c>
      <c r="C13" s="2">
        <v>6031</v>
      </c>
      <c r="D13" s="2">
        <v>1500</v>
      </c>
      <c r="E13" s="2">
        <f t="shared" si="0"/>
        <v>965</v>
      </c>
      <c r="F13" s="2" t="str">
        <f t="shared" si="1"/>
        <v>Yes</v>
      </c>
    </row>
    <row r="14" spans="1:10" x14ac:dyDescent="0.35">
      <c r="A14" s="2" t="s">
        <v>14</v>
      </c>
      <c r="B14" s="2">
        <v>6674</v>
      </c>
      <c r="C14" s="2">
        <v>3281</v>
      </c>
      <c r="D14" s="2">
        <v>1500</v>
      </c>
      <c r="E14" s="2">
        <f t="shared" si="0"/>
        <v>3393</v>
      </c>
      <c r="F14" s="2" t="str">
        <f t="shared" si="1"/>
        <v>No</v>
      </c>
    </row>
    <row r="15" spans="1:10" x14ac:dyDescent="0.35">
      <c r="A15" s="2" t="s">
        <v>15</v>
      </c>
      <c r="B15" s="2">
        <v>6377</v>
      </c>
      <c r="C15" s="2">
        <v>3660</v>
      </c>
      <c r="D15" s="2">
        <v>1500</v>
      </c>
      <c r="E15" s="2">
        <f t="shared" si="0"/>
        <v>2717</v>
      </c>
      <c r="F15" s="2" t="str">
        <f t="shared" si="1"/>
        <v>No</v>
      </c>
    </row>
    <row r="16" spans="1:10" x14ac:dyDescent="0.35">
      <c r="A16" s="2" t="s">
        <v>16</v>
      </c>
      <c r="B16" s="2">
        <v>7415</v>
      </c>
      <c r="C16" s="2">
        <v>5775</v>
      </c>
      <c r="D16" s="2">
        <v>1000</v>
      </c>
      <c r="E16" s="2">
        <f t="shared" si="0"/>
        <v>1640</v>
      </c>
      <c r="F16" s="2" t="str">
        <f t="shared" si="1"/>
        <v>No</v>
      </c>
    </row>
    <row r="17" spans="1:6" x14ac:dyDescent="0.35">
      <c r="A17" s="2" t="s">
        <v>17</v>
      </c>
      <c r="B17" s="2">
        <v>7186</v>
      </c>
      <c r="C17" s="2">
        <v>3462</v>
      </c>
      <c r="D17" s="2">
        <v>1000</v>
      </c>
      <c r="E17" s="2">
        <f t="shared" si="0"/>
        <v>3724</v>
      </c>
      <c r="F17" s="2" t="str">
        <f t="shared" si="1"/>
        <v>No</v>
      </c>
    </row>
    <row r="18" spans="1:6" x14ac:dyDescent="0.35">
      <c r="A18" s="2" t="s">
        <v>18</v>
      </c>
      <c r="B18" s="2">
        <v>6598</v>
      </c>
      <c r="C18" s="2">
        <v>5186</v>
      </c>
      <c r="D18" s="2">
        <v>1500</v>
      </c>
      <c r="E18" s="2">
        <f t="shared" si="0"/>
        <v>1412</v>
      </c>
      <c r="F18" s="2" t="str">
        <f t="shared" si="1"/>
        <v>Yes</v>
      </c>
    </row>
    <row r="19" spans="1:6" x14ac:dyDescent="0.35">
      <c r="A19" s="2" t="s">
        <v>19</v>
      </c>
      <c r="B19" s="2">
        <v>7473</v>
      </c>
      <c r="C19" s="2">
        <v>7170</v>
      </c>
      <c r="D19" s="2">
        <v>1000</v>
      </c>
      <c r="E19" s="2">
        <f t="shared" si="0"/>
        <v>303</v>
      </c>
      <c r="F19" s="2" t="str">
        <f t="shared" si="1"/>
        <v>Yes</v>
      </c>
    </row>
    <row r="20" spans="1:6" x14ac:dyDescent="0.35">
      <c r="A20" s="2" t="s">
        <v>20</v>
      </c>
      <c r="B20" s="2">
        <v>6409</v>
      </c>
      <c r="C20" s="2">
        <v>4559</v>
      </c>
      <c r="D20" s="2">
        <v>1000</v>
      </c>
      <c r="E20" s="2">
        <f t="shared" si="0"/>
        <v>1850</v>
      </c>
      <c r="F20" s="2" t="str">
        <f t="shared" si="1"/>
        <v>No</v>
      </c>
    </row>
  </sheetData>
  <conditionalFormatting sqref="F2:F20">
    <cfRule type="containsText" dxfId="79" priority="1" operator="containsText" text="No">
      <formula>NOT(ISERROR(SEARCH("No",F2)))</formula>
    </cfRule>
    <cfRule type="containsText" dxfId="78" priority="2" operator="containsText" text="Yes">
      <formula>NOT(ISERROR(SEARCH("Yes",F2)))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ABCD Classification</vt:lpstr>
      <vt:lpstr>Pivot Table – SKU Profits</vt:lpstr>
      <vt:lpstr>Re-Order Point &amp; 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Wingchee W</dc:creator>
  <cp:lastModifiedBy>Wingchee W</cp:lastModifiedBy>
  <dcterms:created xsi:type="dcterms:W3CDTF">2025-11-10T00:52:30Z</dcterms:created>
  <dcterms:modified xsi:type="dcterms:W3CDTF">2025-11-29T22:29:04Z</dcterms:modified>
</cp:coreProperties>
</file>